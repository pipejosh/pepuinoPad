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<sst xmlns="http://schemas.openxmlformats.org/spreadsheetml/2006/main" count="43" uniqueCount="41">
  <si>
    <t>KIT Items</t>
  </si>
  <si>
    <t>Description</t>
  </si>
  <si>
    <t>Quantity</t>
  </si>
  <si>
    <t xml:space="preserve">Unit Price </t>
  </si>
  <si>
    <t xml:space="preserve">Total Price </t>
  </si>
  <si>
    <t>URL</t>
  </si>
  <si>
    <t>blank keycaps</t>
  </si>
  <si>
    <t xml:space="preserve">white </t>
  </si>
  <si>
    <t>https://www.aliexpress.com/item/1576902211.html?invitationCode=WTdsQld1N3E0dCt6aUJSMk1HMGFwS3pRdVpSS2ZEbUpCQXpTeWNiYS9GdWVQemFTZUJrNWVWT0s1MU1hdTAyWg&amp;srcSns=sns_Copy&amp;spreadType=socialShare&amp;social_params=21998300526&amp;bizType=ProductDetail&amp;spreadCode=WTdsQld1N3E0dCt6aUJSMk1HMGFwS3pRdVpSS2ZEbUpCQXpTeWNiYS9GdWVQemFTZUJrNWVWT0s1MU1hdTAyWg&amp;aff_fcid=fc7fe6e8dfe6416393474d90287a145e-1765002889991-05671-_mMYwaOd&amp;tt=MG&amp;aff_fsk=_mMYwaOd&amp;aff_platform=default&amp;sk=_mMYwaOd&amp;aff_trace_key=fc7fe6e8dfe6416393474d90287a145e-1765002889991-05671-_mMYwaOd&amp;shareId=21998300526&amp;businessType=ProductDetail&amp;platform=AE&amp;terminal_id=fde94912c73c48bdaf8f78c58fcc7623&amp;afSmartRedirect=y&amp;gatewayAdapt=4itemAdapt</t>
  </si>
  <si>
    <t>green</t>
  </si>
  <si>
    <t>https://www.aliexpress.com/item/1005007484383179.html?spm=a2g0o.detail.0.0.7fc4QlPlQlPlQO&amp;mp=1</t>
  </si>
  <si>
    <t>switches</t>
  </si>
  <si>
    <t>mechanical switches</t>
  </si>
  <si>
    <t>https://www.aliexpress.com/item/1005009787231480.html?spm=a2g0o.detail.0.0.67adNrIhNrIhyD&amp;mp=1</t>
  </si>
  <si>
    <t>diodes</t>
  </si>
  <si>
    <t>smd diodes</t>
  </si>
  <si>
    <t>https://www.aliexpress.com/item/1005007160563285.html?spm=a2g0o.detail.0.0.7fc4QlPlQlPlQO&amp;mp=1</t>
  </si>
  <si>
    <t>usb-c cable</t>
  </si>
  <si>
    <t>usb-c</t>
  </si>
  <si>
    <t>https://www.aliexpress.com/item/1005005080440661.html?spm=a2g0o.detail.0.0.7275HudaHudawS&amp;mp=1</t>
  </si>
  <si>
    <t>M2 standoff</t>
  </si>
  <si>
    <t>M2 standoff 5mm</t>
  </si>
  <si>
    <t>https://www.aliexpress.com/item/1005008504707668.html?spm=a2g0o.detail.0.0.5fe4VqYfVqYfAJ&amp;mp=1</t>
  </si>
  <si>
    <t>M2 screw</t>
  </si>
  <si>
    <t>5mm screw</t>
  </si>
  <si>
    <t>https://www.aliexpress.com/item/1005005070119421.html?spm=a2g0o.productlist.main.6.5ae95acdXyxAzO&amp;algo_pvid=7b80bd85-60b3-451d-ab83-8cb025dd266f&amp;pdp_ext_f=%7B%22order%22%3A%228711%22%2C%22eval%22%3A%221%22%2C%22fromPage%22%3A%22search%22%7D&amp;utparam-url=scene%3Asearch%7Cquery_from%3A%7Cx_object_id%3A1005005070119421%7C_p_origin_prod%3A</t>
  </si>
  <si>
    <t>Led</t>
  </si>
  <si>
    <t>sk6812</t>
  </si>
  <si>
    <t>https://www.aliexpress.com/item/1005005193716172.html?spm=a2g0o.cart.0.0.5b5d38daIIwypf&amp;mp=1</t>
  </si>
  <si>
    <t>raspberry pico</t>
  </si>
  <si>
    <t>raspberry pico usb-c</t>
  </si>
  <si>
    <t>https://www.aliexpress.com/item/1005006839247100.html?spm=a2g0o.cart.0.0.5b5d38daIIwypf&amp;mp=1</t>
  </si>
  <si>
    <t>taxes</t>
  </si>
  <si>
    <t>aliexpress tax</t>
  </si>
  <si>
    <t>Components</t>
  </si>
  <si>
    <t>CASE Items</t>
  </si>
  <si>
    <t>JLCPCB</t>
  </si>
  <si>
    <t>Pepuino Pad PCB</t>
  </si>
  <si>
    <t>JLCPCB Shipping</t>
  </si>
  <si>
    <t>Shipping for PCB + taxes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</si>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</sst>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color rgb="FF0F1111"/>
      <name val="Arial"/>
    </font>
    <font>
      <sz val="10.0"/>
      <color rgb="FF222222"/>
      <name val="Arial"/>
    </font>
    <font>
      <u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2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1" fillId="0" fontId="4" numFmtId="4" xfId="0" applyAlignment="1" applyBorder="1" applyFont="1" applyNumberFormat="1">
      <alignment readingOrder="0"/>
    </xf>
    <xf borderId="0" fillId="0" fontId="5" numFmtId="0" xfId="0" applyAlignment="1" applyFont="1">
      <alignment readingOrder="0" vertical="bottom"/>
    </xf>
    <xf borderId="1" fillId="2" fontId="6" numFmtId="0" xfId="0" applyAlignment="1" applyBorder="1" applyFill="1" applyFont="1">
      <alignment readingOrder="0"/>
    </xf>
    <xf borderId="1" fillId="0" fontId="7" numFmtId="2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8" numFmtId="0" xfId="0" applyAlignment="1" applyFont="1">
      <alignment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1" fillId="0" fontId="4" numFmtId="0" xfId="0" applyBorder="1" applyFont="1"/>
    <xf borderId="0" fillId="0" fontId="4" numFmtId="0" xfId="0" applyAlignment="1" applyFont="1">
      <alignment readingOrder="0"/>
    </xf>
    <xf borderId="0" fillId="0" fontId="2" numFmtId="2" xfId="0" applyAlignment="1" applyFont="1" applyNumberFormat="1">
      <alignment horizontal="right" readingOrder="0" vertical="bottom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561975</xdr:colOff>
      <xdr:row>17</xdr:row>
      <xdr:rowOff>133350</xdr:rowOff>
    </xdr:from>
    <xdr:ext cx="4876800" cy="5819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17</xdr:row>
      <xdr:rowOff>133350</xdr:rowOff>
    </xdr:from>
    <xdr:ext cx="4876800" cy="40576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576902211.html?invitationCode=WTdsQld1N3E0dCt6aUJSMk1HMGFwS3pRdVpSS2ZEbUpCQXpTeWNiYS9GdWVQemFTZUJrNWVWT0s1MU1hdTAyWg&amp;srcSns=sns_Copy&amp;spreadType=socialShare&amp;social_params=21998300526&amp;bizType=ProductDetail&amp;spreadCode=WTdsQld1N3E0dCt6aUJSMk1HMGFwS3pRdVpSS2ZEbUpCQXpTeWNiYS9GdWVQemFTZUJrNWVWT0s1MU1hdTAyWg&amp;aff_fcid=fc7fe6e8dfe6416393474d90287a145e-1765002889991-05671-_mMYwaOd&amp;tt=MG&amp;aff_fsk=_mMYwaOd&amp;aff_platform=default&amp;sk=_mMYwaOd&amp;aff_trace_key=fc7fe6e8dfe6416393474d90287a145e-1765002889991-05671-_mMYwaOd&amp;shareId=21998300526&amp;businessType=ProductDetail&amp;platform=AE&amp;terminal_id=fde94912c73c48bdaf8f78c58fcc7623&amp;afSmartRedirect=y&amp;gatewayAdapt=4itemAdapt" TargetMode="External"/><Relationship Id="rId2" Type="http://schemas.openxmlformats.org/officeDocument/2006/relationships/hyperlink" Target="https://www.aliexpress.com/item/1005007484383179.html?spm=a2g0o.detail.0.0.7fc4QlPlQlPlQO&amp;mp=1" TargetMode="External"/><Relationship Id="rId3" Type="http://schemas.openxmlformats.org/officeDocument/2006/relationships/hyperlink" Target="https://www.aliexpress.com/item/1005009787231480.html?spm=a2g0o.detail.0.0.67adNrIhNrIhyD&amp;mp=1" TargetMode="External"/><Relationship Id="rId4" Type="http://schemas.openxmlformats.org/officeDocument/2006/relationships/hyperlink" Target="https://www.aliexpress.com/item/1005007160563285.html?spm=a2g0o.detail.0.0.7fc4QlPlQlPlQO&amp;mp=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liexpress.com/item/1005006839247100.html?spm=a2g0o.cart.0.0.5b5d38daIIwypf&amp;mp=1" TargetMode="External"/><Relationship Id="rId5" Type="http://schemas.openxmlformats.org/officeDocument/2006/relationships/hyperlink" Target="https://www.aliexpress.com/item/1005005080440661.html?spm=a2g0o.detail.0.0.7275HudaHudawS&amp;mp=1" TargetMode="External"/><Relationship Id="rId6" Type="http://schemas.openxmlformats.org/officeDocument/2006/relationships/hyperlink" Target="https://www.aliexpress.com/item/1005008504707668.html?spm=a2g0o.detail.0.0.5fe4VqYfVqYfAJ&amp;mp=1" TargetMode="External"/><Relationship Id="rId7" Type="http://schemas.openxmlformats.org/officeDocument/2006/relationships/hyperlink" Target="https://www.aliexpress.com/item/1005005070119421.html?spm=a2g0o.productlist.main.6.5ae95acdXyxAzO&amp;algo_pvid=7b80bd85-60b3-451d-ab83-8cb025dd266f&amp;pdp_ext_f=%7B%22order%22%3A%228711%22%2C%22eval%22%3A%221%22%2C%22fromPage%22%3A%22search%22%7D&amp;utparam-url=scene%3Asearch%7Cquery_from%3A%7Cx_object_id%3A1005005070119421%7C_p_origin_prod%3A" TargetMode="External"/><Relationship Id="rId8" Type="http://schemas.openxmlformats.org/officeDocument/2006/relationships/hyperlink" Target="https://www.aliexpress.com/item/1005005193716172.html?spm=a2g0o.cart.0.0.5b5d38daIIwypf&amp;m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88"/>
    <col customWidth="1" min="4" max="4" width="15.5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5">
        <v>80.0</v>
      </c>
      <c r="D2" s="6">
        <f t="shared" ref="D2:D9" si="1">E2/C2</f>
        <v>0.205125</v>
      </c>
      <c r="E2" s="5">
        <v>16.41</v>
      </c>
      <c r="F2" s="7" t="s">
        <v>8</v>
      </c>
    </row>
    <row r="3">
      <c r="A3" s="4" t="s">
        <v>6</v>
      </c>
      <c r="B3" s="4" t="s">
        <v>9</v>
      </c>
      <c r="C3" s="5">
        <v>20.0</v>
      </c>
      <c r="D3" s="6">
        <f t="shared" si="1"/>
        <v>0.27</v>
      </c>
      <c r="E3" s="8">
        <v>5.4</v>
      </c>
      <c r="F3" s="9" t="s">
        <v>10</v>
      </c>
    </row>
    <row r="4">
      <c r="A4" s="4" t="s">
        <v>11</v>
      </c>
      <c r="B4" s="4" t="s">
        <v>12</v>
      </c>
      <c r="C4" s="5">
        <v>90.0</v>
      </c>
      <c r="D4" s="6">
        <f t="shared" si="1"/>
        <v>0.2012222222</v>
      </c>
      <c r="E4" s="5">
        <v>18.11</v>
      </c>
      <c r="F4" s="9" t="s">
        <v>13</v>
      </c>
    </row>
    <row r="5">
      <c r="A5" s="4" t="s">
        <v>14</v>
      </c>
      <c r="B5" s="4" t="s">
        <v>15</v>
      </c>
      <c r="C5" s="5">
        <v>100.0</v>
      </c>
      <c r="D5" s="6">
        <f t="shared" si="1"/>
        <v>0.0308</v>
      </c>
      <c r="E5" s="5">
        <v>3.08</v>
      </c>
      <c r="F5" s="9" t="s">
        <v>16</v>
      </c>
    </row>
    <row r="6">
      <c r="A6" s="10" t="s">
        <v>17</v>
      </c>
      <c r="B6" s="4" t="s">
        <v>18</v>
      </c>
      <c r="C6" s="5">
        <v>1.0</v>
      </c>
      <c r="D6" s="6">
        <f t="shared" si="1"/>
        <v>3.31</v>
      </c>
      <c r="E6" s="5">
        <v>3.31</v>
      </c>
      <c r="F6" s="9" t="s">
        <v>19</v>
      </c>
    </row>
    <row r="7">
      <c r="A7" s="4" t="s">
        <v>20</v>
      </c>
      <c r="B7" s="4" t="s">
        <v>21</v>
      </c>
      <c r="C7" s="5">
        <v>50.0</v>
      </c>
      <c r="D7" s="6">
        <f t="shared" si="1"/>
        <v>0.05</v>
      </c>
      <c r="E7" s="5">
        <v>2.5</v>
      </c>
      <c r="F7" s="9" t="s">
        <v>22</v>
      </c>
    </row>
    <row r="8">
      <c r="A8" s="4" t="s">
        <v>23</v>
      </c>
      <c r="B8" s="4" t="s">
        <v>24</v>
      </c>
      <c r="C8" s="5">
        <v>50.0</v>
      </c>
      <c r="D8" s="6">
        <f t="shared" si="1"/>
        <v>0.032</v>
      </c>
      <c r="E8" s="11">
        <v>1.6</v>
      </c>
      <c r="F8" s="9" t="s">
        <v>25</v>
      </c>
    </row>
    <row r="9">
      <c r="A9" s="4" t="s">
        <v>26</v>
      </c>
      <c r="B9" s="12" t="s">
        <v>27</v>
      </c>
      <c r="C9" s="5">
        <v>100.0</v>
      </c>
      <c r="D9" s="6">
        <f t="shared" si="1"/>
        <v>0.0698</v>
      </c>
      <c r="E9" s="11">
        <v>6.98</v>
      </c>
      <c r="F9" s="13" t="s">
        <v>28</v>
      </c>
    </row>
    <row r="10">
      <c r="A10" s="12" t="s">
        <v>29</v>
      </c>
      <c r="B10" s="12" t="s">
        <v>30</v>
      </c>
      <c r="C10" s="12">
        <v>1.0</v>
      </c>
      <c r="D10" s="14">
        <v>3.27</v>
      </c>
      <c r="E10" s="14">
        <v>3.27</v>
      </c>
      <c r="F10" s="15" t="s">
        <v>31</v>
      </c>
    </row>
    <row r="11">
      <c r="A11" s="12" t="s">
        <v>32</v>
      </c>
      <c r="B11" s="12" t="s">
        <v>33</v>
      </c>
      <c r="C11" s="16"/>
      <c r="D11" s="16"/>
      <c r="E11" s="12">
        <v>4.28</v>
      </c>
    </row>
    <row r="12">
      <c r="A12" s="17"/>
      <c r="B12" s="17"/>
      <c r="C12" s="17"/>
      <c r="D12" s="18"/>
      <c r="E12" s="17"/>
    </row>
    <row r="13">
      <c r="A13" s="17"/>
      <c r="B13" s="17"/>
      <c r="D13" s="18"/>
      <c r="E13" s="17"/>
    </row>
    <row r="15">
      <c r="D15" s="17" t="s">
        <v>34</v>
      </c>
      <c r="E15" s="19">
        <f>SUM(E2:E13)</f>
        <v>64.94</v>
      </c>
    </row>
    <row r="18">
      <c r="A18" s="3" t="s">
        <v>35</v>
      </c>
      <c r="B18" s="3" t="s">
        <v>1</v>
      </c>
      <c r="C18" s="3"/>
      <c r="D18" s="3"/>
      <c r="E18" s="3"/>
      <c r="F18" s="3"/>
    </row>
    <row r="19">
      <c r="A19" s="20"/>
      <c r="B19" s="20"/>
      <c r="C19" s="20"/>
      <c r="D19" s="20"/>
      <c r="E19" s="20"/>
      <c r="F19" s="20"/>
    </row>
    <row r="20">
      <c r="A20" s="20" t="s">
        <v>36</v>
      </c>
      <c r="B20" s="21" t="s">
        <v>37</v>
      </c>
      <c r="C20" s="22">
        <v>21.84</v>
      </c>
      <c r="D20" s="23"/>
      <c r="E20" s="23"/>
      <c r="F20" s="24"/>
    </row>
    <row r="21">
      <c r="A21" s="20" t="s">
        <v>38</v>
      </c>
      <c r="B21" s="21" t="s">
        <v>39</v>
      </c>
      <c r="C21" s="22">
        <v>16.87</v>
      </c>
      <c r="D21" s="23"/>
      <c r="E21" s="23"/>
      <c r="F21" s="20"/>
    </row>
    <row r="23">
      <c r="A23" s="17" t="s">
        <v>40</v>
      </c>
      <c r="B23" s="19">
        <f>E15+C20+C21</f>
        <v>103.65</v>
      </c>
    </row>
    <row r="24">
      <c r="A24" s="20"/>
      <c r="B24" s="25"/>
      <c r="C24" s="20"/>
      <c r="D24" s="20"/>
      <c r="E24" s="20"/>
      <c r="F24" s="20"/>
    </row>
    <row r="25">
      <c r="A25" s="26"/>
      <c r="B25" s="27"/>
      <c r="C25" s="21"/>
      <c r="D25" s="20"/>
      <c r="E25" s="20"/>
      <c r="F25" s="2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drawing r:id="rId10"/>
</worksheet>
</file>